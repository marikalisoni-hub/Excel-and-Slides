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k\Downloads\"/>
    </mc:Choice>
  </mc:AlternateContent>
  <xr:revisionPtr revIDLastSave="0" documentId="13_ncr:1_{769200ED-495D-468E-8FD7-B02768AD31BD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README" sheetId="1" r:id="rId1"/>
    <sheet name="Inputs" sheetId="2" r:id="rId2"/>
    <sheet name="WC Analysis" sheetId="3" r:id="rId3"/>
    <sheet name="Lev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3" l="1"/>
  <c r="D24" i="4"/>
  <c r="D16" i="4"/>
  <c r="D8" i="4"/>
  <c r="I10" i="3"/>
  <c r="H10" i="3"/>
  <c r="G10" i="3"/>
  <c r="F10" i="3"/>
  <c r="E10" i="3"/>
  <c r="E15" i="3" s="1"/>
  <c r="D15" i="4" s="1"/>
  <c r="D17" i="4" s="1"/>
  <c r="D10" i="3"/>
  <c r="I9" i="3"/>
  <c r="H9" i="3"/>
  <c r="H14" i="3" s="1"/>
  <c r="G9" i="3"/>
  <c r="G14" i="3" s="1"/>
  <c r="F9" i="3"/>
  <c r="F14" i="3" s="1"/>
  <c r="E9" i="3"/>
  <c r="D9" i="3"/>
  <c r="D14" i="3" s="1"/>
  <c r="I8" i="3"/>
  <c r="H8" i="3"/>
  <c r="G8" i="3"/>
  <c r="G13" i="3" s="1"/>
  <c r="F8" i="3"/>
  <c r="F13" i="3" s="1"/>
  <c r="E8" i="3"/>
  <c r="E13" i="3" s="1"/>
  <c r="D8" i="3"/>
  <c r="I7" i="3"/>
  <c r="H7" i="3"/>
  <c r="G7" i="3"/>
  <c r="F7" i="3"/>
  <c r="E7" i="3"/>
  <c r="D7" i="3"/>
  <c r="I6" i="3"/>
  <c r="H6" i="3"/>
  <c r="G6" i="3"/>
  <c r="F6" i="3"/>
  <c r="E6" i="3"/>
  <c r="D6" i="3"/>
  <c r="H19" i="3" l="1"/>
  <c r="H20" i="3" s="1"/>
  <c r="H13" i="3"/>
  <c r="D15" i="3"/>
  <c r="I19" i="3"/>
  <c r="I20" i="3" s="1"/>
  <c r="I14" i="3"/>
  <c r="E14" i="3"/>
  <c r="E16" i="3" s="1"/>
  <c r="G15" i="3"/>
  <c r="D19" i="3"/>
  <c r="D20" i="3" s="1"/>
  <c r="F16" i="3"/>
  <c r="H15" i="3"/>
  <c r="D23" i="4"/>
  <c r="D25" i="4" s="1"/>
  <c r="D21" i="4"/>
  <c r="G16" i="3"/>
  <c r="D13" i="3"/>
  <c r="D16" i="3" s="1"/>
  <c r="I15" i="3"/>
  <c r="G19" i="3"/>
  <c r="G20" i="3" s="1"/>
  <c r="I13" i="3"/>
  <c r="F19" i="3"/>
  <c r="F20" i="3" s="1"/>
  <c r="E19" i="3"/>
  <c r="E20" i="3" s="1"/>
  <c r="D13" i="4"/>
  <c r="D5" i="4" l="1"/>
  <c r="D7" i="4"/>
  <c r="D9" i="4" s="1"/>
  <c r="H16" i="3"/>
  <c r="I16" i="3"/>
  <c r="D28" i="4" l="1"/>
  <c r="D29" i="4"/>
</calcChain>
</file>

<file path=xl/sharedStrings.xml><?xml version="1.0" encoding="utf-8"?>
<sst xmlns="http://schemas.openxmlformats.org/spreadsheetml/2006/main" count="99" uniqueCount="74">
  <si>
    <t>Working Capital &amp; Cash Flow Deep-Dive</t>
  </si>
  <si>
    <t>IMPORTANT — ILLUSTRATIVE DATA</t>
  </si>
  <si>
    <t>WHAT THIS MODEL DOES</t>
  </si>
  <si>
    <t>HOW TO USE IT</t>
  </si>
  <si>
    <t>1.  'Inputs' holds every raw figure (blue = input).</t>
  </si>
  <si>
    <t>2.  'WC Analysis' calculates DSO, DIO, DPO, CCC and NWC% with live formulas linked to 'Inputs'. Change an input, everything updates.</t>
  </si>
  <si>
    <t>3.  'Levers' turns the gap to the leaner peer into an estimated $ of cash that could be released.</t>
  </si>
  <si>
    <t>NWC% = (Receivables + Inventory - Payables) / Revenue.</t>
  </si>
  <si>
    <t>All figures in US$ millions. Illustrative model prepared July 2026.</t>
  </si>
  <si>
    <t>INPUTS — raw financials (US$mm, illustrative)</t>
  </si>
  <si>
    <t>Blue = hardcoded input. Synthetic data for two fictional companies.</t>
  </si>
  <si>
    <t>ALPHA SUBSEA SYSTEMS</t>
  </si>
  <si>
    <t>Line item / US$mm</t>
  </si>
  <si>
    <t>FY2022</t>
  </si>
  <si>
    <t>FY2023</t>
  </si>
  <si>
    <t>FY2024</t>
  </si>
  <si>
    <t>Revenue</t>
  </si>
  <si>
    <t>Cost of revenue (COGS)</t>
  </si>
  <si>
    <t>Receivables, net</t>
  </si>
  <si>
    <t>Inventories, net</t>
  </si>
  <si>
    <t>Accounts payable</t>
  </si>
  <si>
    <t>BETA ENERGY EQUIPMENT</t>
  </si>
  <si>
    <t>WORKING CAPITAL ANALYSIS — Cash Conversion Cycle</t>
  </si>
  <si>
    <t>All cells are live formulas linked to 'Inputs'. Ratios use period-end balances. Days basis = 365.</t>
  </si>
  <si>
    <t>Alpha Subsea Systems</t>
  </si>
  <si>
    <t>Beta Energy Equipment (peer)</t>
  </si>
  <si>
    <t>Metric</t>
  </si>
  <si>
    <t>COGS</t>
  </si>
  <si>
    <t>Receivables</t>
  </si>
  <si>
    <t>Inventory</t>
  </si>
  <si>
    <t>Payables</t>
  </si>
  <si>
    <t>CASH CONVERSION CYCLE</t>
  </si>
  <si>
    <t>DSO  (Receivables days)</t>
  </si>
  <si>
    <t>DIO  (Inventory days)</t>
  </si>
  <si>
    <t>DPO  (Payables days)</t>
  </si>
  <si>
    <t>CCC = DSO + DIO - DPO</t>
  </si>
  <si>
    <t>NET WORKING CAPITAL</t>
  </si>
  <si>
    <t>NWC (AR + Inv - AP)</t>
  </si>
  <si>
    <t>NWC as % of revenue</t>
  </si>
  <si>
    <t>Cash released = (current days - target days) / 365 x annual driver. Editable targets in blue.</t>
  </si>
  <si>
    <t>LEVER 1 — Reduce inventory days (DIO)</t>
  </si>
  <si>
    <t>Alpha current DIO</t>
  </si>
  <si>
    <t>From WC Analysis, FY2023.</t>
  </si>
  <si>
    <t>Target DIO (editable)</t>
  </si>
  <si>
    <t>Days improvement</t>
  </si>
  <si>
    <t>Annual COGS ($mm)</t>
  </si>
  <si>
    <t>CASH RELEASED ($mm)</t>
  </si>
  <si>
    <t>One-off cash freed from the balance sheet.</t>
  </si>
  <si>
    <t>Trade-off</t>
  </si>
  <si>
    <t>LEVER 2 — Extend payables days (DPO) toward peer</t>
  </si>
  <si>
    <t>Alpha current DPO</t>
  </si>
  <si>
    <t>Target DPO (editable)</t>
  </si>
  <si>
    <t>One-off cash freed by paying suppliers over a longer cycle.</t>
  </si>
  <si>
    <t>LEVER 3 — Reduce receivables days (DSO) toward peer</t>
  </si>
  <si>
    <t>Alpha current DSO</t>
  </si>
  <si>
    <t>Target DSO (editable)</t>
  </si>
  <si>
    <t>Annual Revenue ($mm)</t>
  </si>
  <si>
    <t>One-off cash freed by collecting from customers sooner.</t>
  </si>
  <si>
    <t>TOTAL POTENTIAL CASH RELEASED ($mm)</t>
  </si>
  <si>
    <t xml:space="preserve">   as % of FY2023 revenue</t>
  </si>
  <si>
    <t xml:space="preserve">READ-OUT (FY2023): Alpha ties up far more cash than Beta: a much longer cash conversion cycle and a higher share of revenue locked on the balance sheet. </t>
  </si>
  <si>
    <t>Leaner stock raises stockout / lead-time risk on long-cycle equipment</t>
  </si>
  <si>
    <t>CASH-RELEASE LEVERS — Alpha Systems (FY2023 basis)</t>
  </si>
  <si>
    <t>Alpha Systems' and 'Beta Energy' are fictional companies with synthetic but realistic figures, built to demonstrate the analysis method on a clean dataset. The numbers are not drawn from any real company's accounts.</t>
  </si>
  <si>
    <t>Measures how much cash each company ties up in its operating cycle, using the cash conversion cycle (CCC) and net working capital (NWC) as a % of revenue, then quantifies two  that would release cash at the weaker performer, with trade-offs.</t>
  </si>
  <si>
    <t>FORMULAS</t>
  </si>
  <si>
    <t xml:space="preserve">DSO  = Receivables / Revenue x 365    </t>
  </si>
  <si>
    <t xml:space="preserve">DIO  = Inventory / COGS x 365       </t>
  </si>
  <si>
    <t xml:space="preserve">DPO  = Payables / COGS x 365           </t>
  </si>
  <si>
    <t xml:space="preserve">CCC  = DSO + DIO - DPO      </t>
  </si>
  <si>
    <t>COGS used as approximation for purchases</t>
  </si>
  <si>
    <t>A head-to-head of two energy-equipment companies on how efficiently each converts operations into cash.</t>
  </si>
  <si>
    <t xml:space="preserve">Pushing terms can strain suppliers or cost early-payment discounts </t>
  </si>
  <si>
    <t>Faster collection is a business-partnering effort (terms, milestone billing, credit control) with commercial teams; pushing too hard could strain key customer relationships or require early-payment discounts.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</si>
</sst>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#,##0.0&quot; d&quot;;\(#,##0.0&quot;) d&quot;;\-"/>
    <numFmt numFmtId="166" formatCode="0.0%;\(0.0%\);\-"/>
  </numFmts>
  <fonts count="20" x14ac:knownFonts="1">
    <font>
      <sz val="11"/>
      <color theme="1"/>
      <name val="Calibri"/>
      <family val="2"/>
      <charset val="1"/>
    </font>
    <font>
      <b/>
      <sz val="15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C00000"/>
      <name val="Arial"/>
      <family val="2"/>
    </font>
    <font>
      <sz val="10"/>
      <color rgb="FF000000"/>
      <name val="Arial"/>
      <family val="2"/>
    </font>
    <font>
      <b/>
      <sz val="11"/>
      <color rgb="FF1F3864"/>
      <name val="Arial"/>
      <family val="2"/>
    </font>
    <font>
      <sz val="9.5"/>
      <color rgb="FF000000"/>
      <name val="Arial"/>
      <family val="2"/>
    </font>
    <font>
      <i/>
      <sz val="9"/>
      <color rgb="FF595959"/>
      <name val="Arial"/>
      <family val="2"/>
    </font>
    <font>
      <b/>
      <sz val="13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i/>
      <sz val="9.5"/>
      <color rgb="FF595959"/>
      <name val="Arial"/>
      <family val="2"/>
    </font>
    <font>
      <b/>
      <sz val="10"/>
      <color rgb="FFC00000"/>
      <name val="Arial"/>
      <family val="2"/>
    </font>
    <font>
      <b/>
      <sz val="11"/>
      <color rgb="FF000000"/>
      <name val="Arial"/>
      <family val="2"/>
    </font>
    <font>
      <i/>
      <sz val="9"/>
      <color rgb="FF000000"/>
      <name val="Arial"/>
      <family val="2"/>
    </font>
    <font>
      <i/>
      <sz val="8.5"/>
      <color rgb="FF80808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C6E0B4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8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9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7" fillId="0" borderId="0" xfId="0" applyFont="1"/>
    <xf numFmtId="0" fontId="9" fillId="2" borderId="0" xfId="0" applyFont="1" applyFill="1"/>
    <xf numFmtId="0" fontId="0" fillId="2" borderId="0" xfId="0" applyFill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4" fillId="0" borderId="0" xfId="0" applyFont="1"/>
    <xf numFmtId="164" fontId="11" fillId="0" borderId="1" xfId="0" applyNumberFormat="1" applyFont="1" applyBorder="1"/>
    <xf numFmtId="164" fontId="12" fillId="0" borderId="0" xfId="0" applyNumberFormat="1" applyFont="1" applyAlignment="1">
      <alignment horizontal="right"/>
    </xf>
    <xf numFmtId="0" fontId="13" fillId="3" borderId="0" xfId="0" applyFont="1" applyFill="1"/>
    <xf numFmtId="0" fontId="0" fillId="3" borderId="0" xfId="0" applyFill="1"/>
    <xf numFmtId="165" fontId="4" fillId="3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0" fontId="13" fillId="0" borderId="2" xfId="0" applyFont="1" applyBorder="1"/>
    <xf numFmtId="165" fontId="13" fillId="0" borderId="2" xfId="0" applyNumberFormat="1" applyFont="1" applyBorder="1" applyAlignment="1">
      <alignment horizontal="right"/>
    </xf>
    <xf numFmtId="164" fontId="4" fillId="3" borderId="0" xfId="0" applyNumberFormat="1" applyFont="1" applyFill="1" applyAlignment="1">
      <alignment horizontal="right"/>
    </xf>
    <xf numFmtId="0" fontId="13" fillId="0" borderId="0" xfId="0" applyFont="1"/>
    <xf numFmtId="164" fontId="13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7" fillId="0" borderId="0" xfId="0" applyFont="1" applyAlignment="1">
      <alignment vertical="center" wrapText="1"/>
    </xf>
    <xf numFmtId="165" fontId="11" fillId="4" borderId="1" xfId="0" applyNumberFormat="1" applyFont="1" applyFill="1" applyBorder="1" applyAlignment="1">
      <alignment horizontal="right"/>
    </xf>
    <xf numFmtId="165" fontId="13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13" fillId="5" borderId="1" xfId="0" applyNumberFormat="1" applyFont="1" applyFill="1" applyBorder="1" applyAlignment="1">
      <alignment horizontal="right"/>
    </xf>
    <xf numFmtId="0" fontId="15" fillId="0" borderId="0" xfId="0" applyFont="1"/>
    <xf numFmtId="0" fontId="16" fillId="0" borderId="0" xfId="0" applyFont="1"/>
    <xf numFmtId="164" fontId="16" fillId="6" borderId="1" xfId="0" applyNumberFormat="1" applyFont="1" applyFill="1" applyBorder="1" applyAlignment="1">
      <alignment horizontal="right"/>
    </xf>
    <xf numFmtId="0" fontId="17" fillId="0" borderId="0" xfId="0" applyFont="1"/>
    <xf numFmtId="166" fontId="17" fillId="0" borderId="0" xfId="0" applyNumberFormat="1" applyFont="1" applyAlignment="1">
      <alignment horizontal="right"/>
    </xf>
    <xf numFmtId="0" fontId="19" fillId="0" borderId="0" xfId="0" applyFont="1" applyAlignment="1">
      <alignment vertical="center" wrapText="1"/>
    </xf>
    <xf numFmtId="0" fontId="4" fillId="0" borderId="0" xfId="0" quotePrefix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3"/>
  <sheetViews>
    <sheetView showGridLines="0" topLeftCell="A5" zoomScaleNormal="100" workbookViewId="0">
      <selection activeCell="C8" sqref="C8"/>
    </sheetView>
  </sheetViews>
  <sheetFormatPr defaultColWidth="8.6328125" defaultRowHeight="14.5" x14ac:dyDescent="0.35"/>
  <cols>
    <col min="1" max="1" width="3" customWidth="1"/>
    <col min="2" max="2" width="100" customWidth="1"/>
    <col min="3" max="3" width="37.54296875" customWidth="1"/>
  </cols>
  <sheetData>
    <row r="1" spans="2:2" ht="19" x14ac:dyDescent="0.4">
      <c r="B1" s="4" t="s">
        <v>0</v>
      </c>
    </row>
    <row r="2" spans="2:2" x14ac:dyDescent="0.35">
      <c r="B2" s="5" t="s">
        <v>71</v>
      </c>
    </row>
    <row r="4" spans="2:2" x14ac:dyDescent="0.35">
      <c r="B4" s="6" t="s">
        <v>1</v>
      </c>
    </row>
    <row r="5" spans="2:2" ht="25" x14ac:dyDescent="0.35">
      <c r="B5" s="42" t="s">
        <v>63</v>
      </c>
    </row>
    <row r="7" spans="2:2" x14ac:dyDescent="0.35">
      <c r="B7" s="8" t="s">
        <v>2</v>
      </c>
    </row>
    <row r="8" spans="2:2" ht="37.5" x14ac:dyDescent="0.35">
      <c r="B8" s="7" t="s">
        <v>64</v>
      </c>
    </row>
    <row r="10" spans="2:2" x14ac:dyDescent="0.35">
      <c r="B10" s="8" t="s">
        <v>3</v>
      </c>
    </row>
    <row r="11" spans="2:2" x14ac:dyDescent="0.35">
      <c r="B11" s="7" t="s">
        <v>4</v>
      </c>
    </row>
    <row r="12" spans="2:2" ht="25" x14ac:dyDescent="0.35">
      <c r="B12" s="7" t="s">
        <v>5</v>
      </c>
    </row>
    <row r="13" spans="2:2" x14ac:dyDescent="0.35">
      <c r="B13" s="7" t="s">
        <v>6</v>
      </c>
    </row>
    <row r="15" spans="2:2" x14ac:dyDescent="0.35">
      <c r="B15" s="8" t="s">
        <v>65</v>
      </c>
    </row>
    <row r="16" spans="2:2" x14ac:dyDescent="0.35">
      <c r="B16" s="9" t="s">
        <v>66</v>
      </c>
    </row>
    <row r="17" spans="2:3" x14ac:dyDescent="0.35">
      <c r="B17" s="9" t="s">
        <v>67</v>
      </c>
    </row>
    <row r="18" spans="2:3" x14ac:dyDescent="0.35">
      <c r="B18" s="9" t="s">
        <v>68</v>
      </c>
      <c r="C18" s="10" t="s">
        <v>70</v>
      </c>
    </row>
    <row r="19" spans="2:3" x14ac:dyDescent="0.35">
      <c r="B19" s="9" t="s">
        <v>69</v>
      </c>
    </row>
    <row r="20" spans="2:3" x14ac:dyDescent="0.35">
      <c r="B20" s="9" t="s">
        <v>7</v>
      </c>
    </row>
    <row r="23" spans="2:3" x14ac:dyDescent="0.35">
      <c r="B23" s="10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8"/>
  <sheetViews>
    <sheetView showGridLines="0" topLeftCell="A2" zoomScaleNormal="100" workbookViewId="0"/>
  </sheetViews>
  <sheetFormatPr defaultColWidth="8.6328125" defaultRowHeight="14.5" x14ac:dyDescent="0.35"/>
  <cols>
    <col min="1" max="1" width="2" customWidth="1"/>
    <col min="2" max="2" width="30" customWidth="1"/>
    <col min="3" max="3" width="3" customWidth="1"/>
    <col min="4" max="6" width="13" customWidth="1"/>
  </cols>
  <sheetData>
    <row r="1" spans="2:6" ht="16.5" x14ac:dyDescent="0.35">
      <c r="B1" s="11" t="s">
        <v>9</v>
      </c>
    </row>
    <row r="2" spans="2:6" x14ac:dyDescent="0.35">
      <c r="B2" s="12" t="s">
        <v>10</v>
      </c>
    </row>
    <row r="4" spans="2:6" x14ac:dyDescent="0.35">
      <c r="B4" s="13" t="s">
        <v>11</v>
      </c>
      <c r="C4" s="14"/>
      <c r="D4" s="14"/>
      <c r="E4" s="14"/>
      <c r="F4" s="14"/>
    </row>
    <row r="5" spans="2:6" x14ac:dyDescent="0.35">
      <c r="B5" s="15" t="s">
        <v>12</v>
      </c>
      <c r="C5" s="14"/>
      <c r="D5" s="16" t="s">
        <v>13</v>
      </c>
      <c r="E5" s="16" t="s">
        <v>14</v>
      </c>
      <c r="F5" s="16" t="s">
        <v>15</v>
      </c>
    </row>
    <row r="6" spans="2:6" x14ac:dyDescent="0.35">
      <c r="B6" s="17" t="s">
        <v>16</v>
      </c>
      <c r="D6" s="18">
        <v>3200</v>
      </c>
      <c r="E6" s="18">
        <v>3650</v>
      </c>
      <c r="F6" s="18">
        <v>4050</v>
      </c>
    </row>
    <row r="7" spans="2:6" x14ac:dyDescent="0.35">
      <c r="B7" s="17" t="s">
        <v>17</v>
      </c>
      <c r="D7" s="18">
        <v>2500</v>
      </c>
      <c r="E7" s="18">
        <v>2850</v>
      </c>
      <c r="F7" s="18">
        <v>3160</v>
      </c>
    </row>
    <row r="8" spans="2:6" x14ac:dyDescent="0.35">
      <c r="B8" s="17" t="s">
        <v>18</v>
      </c>
      <c r="D8" s="18">
        <v>720</v>
      </c>
      <c r="E8" s="18">
        <v>880</v>
      </c>
      <c r="F8" s="18">
        <v>1010</v>
      </c>
    </row>
    <row r="9" spans="2:6" x14ac:dyDescent="0.35">
      <c r="B9" s="17" t="s">
        <v>19</v>
      </c>
      <c r="D9" s="18">
        <v>780</v>
      </c>
      <c r="E9" s="18">
        <v>900</v>
      </c>
      <c r="F9" s="18">
        <v>1010</v>
      </c>
    </row>
    <row r="10" spans="2:6" x14ac:dyDescent="0.35">
      <c r="B10" s="17" t="s">
        <v>20</v>
      </c>
      <c r="D10" s="18">
        <v>420</v>
      </c>
      <c r="E10" s="18">
        <v>470</v>
      </c>
      <c r="F10" s="18">
        <v>520</v>
      </c>
    </row>
    <row r="12" spans="2:6" x14ac:dyDescent="0.35">
      <c r="B12" s="13" t="s">
        <v>21</v>
      </c>
      <c r="C12" s="14"/>
      <c r="D12" s="14"/>
      <c r="E12" s="14"/>
      <c r="F12" s="14"/>
    </row>
    <row r="13" spans="2:6" x14ac:dyDescent="0.35">
      <c r="B13" s="15" t="s">
        <v>12</v>
      </c>
      <c r="C13" s="14"/>
      <c r="D13" s="16" t="s">
        <v>13</v>
      </c>
      <c r="E13" s="16" t="s">
        <v>14</v>
      </c>
      <c r="F13" s="16" t="s">
        <v>15</v>
      </c>
    </row>
    <row r="14" spans="2:6" x14ac:dyDescent="0.35">
      <c r="B14" s="17" t="s">
        <v>16</v>
      </c>
      <c r="D14" s="18">
        <v>5400</v>
      </c>
      <c r="E14" s="18">
        <v>6100</v>
      </c>
      <c r="F14" s="18">
        <v>6700</v>
      </c>
    </row>
    <row r="15" spans="2:6" x14ac:dyDescent="0.35">
      <c r="B15" s="17" t="s">
        <v>17</v>
      </c>
      <c r="D15" s="18">
        <v>4320</v>
      </c>
      <c r="E15" s="18">
        <v>4880</v>
      </c>
      <c r="F15" s="18">
        <v>5360</v>
      </c>
    </row>
    <row r="16" spans="2:6" x14ac:dyDescent="0.35">
      <c r="B16" s="17" t="s">
        <v>18</v>
      </c>
      <c r="D16" s="18">
        <v>760</v>
      </c>
      <c r="E16" s="18">
        <v>850</v>
      </c>
      <c r="F16" s="18">
        <v>930</v>
      </c>
    </row>
    <row r="17" spans="2:6" x14ac:dyDescent="0.35">
      <c r="B17" s="17" t="s">
        <v>19</v>
      </c>
      <c r="D17" s="18">
        <v>720</v>
      </c>
      <c r="E17" s="18">
        <v>800</v>
      </c>
      <c r="F17" s="18">
        <v>870</v>
      </c>
    </row>
    <row r="18" spans="2:6" x14ac:dyDescent="0.35">
      <c r="B18" s="17" t="s">
        <v>20</v>
      </c>
      <c r="D18" s="18">
        <v>900</v>
      </c>
      <c r="E18" s="18">
        <v>1020</v>
      </c>
      <c r="F18" s="18">
        <v>1120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5"/>
  <sheetViews>
    <sheetView showGridLines="0" topLeftCell="A13" zoomScaleNormal="100" workbookViewId="0">
      <selection activeCell="B26" sqref="B26"/>
    </sheetView>
  </sheetViews>
  <sheetFormatPr defaultColWidth="8.6328125" defaultRowHeight="14.5" x14ac:dyDescent="0.35"/>
  <cols>
    <col min="1" max="1" width="2" customWidth="1"/>
    <col min="2" max="2" width="28" customWidth="1"/>
    <col min="3" max="9" width="11" customWidth="1"/>
    <col min="10" max="10" width="2" customWidth="1"/>
  </cols>
  <sheetData>
    <row r="1" spans="2:9" ht="16.5" x14ac:dyDescent="0.35">
      <c r="B1" s="11" t="s">
        <v>22</v>
      </c>
    </row>
    <row r="2" spans="2:9" x14ac:dyDescent="0.35">
      <c r="B2" s="12" t="s">
        <v>23</v>
      </c>
    </row>
    <row r="4" spans="2:9" x14ac:dyDescent="0.35">
      <c r="B4" s="14"/>
      <c r="C4" s="14"/>
      <c r="D4" s="3" t="s">
        <v>24</v>
      </c>
      <c r="E4" s="3"/>
      <c r="F4" s="3"/>
      <c r="G4" s="3" t="s">
        <v>25</v>
      </c>
      <c r="H4" s="3"/>
      <c r="I4" s="3"/>
    </row>
    <row r="5" spans="2:9" x14ac:dyDescent="0.35">
      <c r="B5" s="15" t="s">
        <v>26</v>
      </c>
      <c r="C5" s="14"/>
      <c r="D5" s="16" t="s">
        <v>13</v>
      </c>
      <c r="E5" s="16" t="s">
        <v>14</v>
      </c>
      <c r="F5" s="16" t="s">
        <v>15</v>
      </c>
      <c r="G5" s="16" t="s">
        <v>13</v>
      </c>
      <c r="H5" s="16" t="s">
        <v>14</v>
      </c>
      <c r="I5" s="16" t="s">
        <v>15</v>
      </c>
    </row>
    <row r="6" spans="2:9" x14ac:dyDescent="0.35">
      <c r="B6" s="17" t="s">
        <v>16</v>
      </c>
      <c r="D6" s="19">
        <f>Inputs!D6</f>
        <v>3200</v>
      </c>
      <c r="E6" s="19">
        <f>Inputs!E6</f>
        <v>3650</v>
      </c>
      <c r="F6" s="19">
        <f>Inputs!F6</f>
        <v>4050</v>
      </c>
      <c r="G6" s="19">
        <f>Inputs!D14</f>
        <v>5400</v>
      </c>
      <c r="H6" s="19">
        <f>Inputs!E14</f>
        <v>6100</v>
      </c>
      <c r="I6" s="19">
        <f>Inputs!F14</f>
        <v>6700</v>
      </c>
    </row>
    <row r="7" spans="2:9" x14ac:dyDescent="0.35">
      <c r="B7" s="17" t="s">
        <v>27</v>
      </c>
      <c r="D7" s="19">
        <f>Inputs!D7</f>
        <v>2500</v>
      </c>
      <c r="E7" s="19">
        <f>Inputs!E7</f>
        <v>2850</v>
      </c>
      <c r="F7" s="19">
        <f>Inputs!F7</f>
        <v>3160</v>
      </c>
      <c r="G7" s="19">
        <f>Inputs!D15</f>
        <v>4320</v>
      </c>
      <c r="H7" s="19">
        <f>Inputs!E15</f>
        <v>4880</v>
      </c>
      <c r="I7" s="19">
        <f>Inputs!F15</f>
        <v>5360</v>
      </c>
    </row>
    <row r="8" spans="2:9" x14ac:dyDescent="0.35">
      <c r="B8" s="17" t="s">
        <v>28</v>
      </c>
      <c r="D8" s="19">
        <f>Inputs!D8</f>
        <v>720</v>
      </c>
      <c r="E8" s="19">
        <f>Inputs!E8</f>
        <v>880</v>
      </c>
      <c r="F8" s="19">
        <f>Inputs!F8</f>
        <v>1010</v>
      </c>
      <c r="G8" s="19">
        <f>Inputs!D16</f>
        <v>760</v>
      </c>
      <c r="H8" s="19">
        <f>Inputs!E16</f>
        <v>850</v>
      </c>
      <c r="I8" s="19">
        <f>Inputs!F16</f>
        <v>930</v>
      </c>
    </row>
    <row r="9" spans="2:9" x14ac:dyDescent="0.35">
      <c r="B9" s="17" t="s">
        <v>29</v>
      </c>
      <c r="D9" s="19">
        <f>Inputs!D9</f>
        <v>780</v>
      </c>
      <c r="E9" s="19">
        <f>Inputs!E9</f>
        <v>900</v>
      </c>
      <c r="F9" s="19">
        <f>Inputs!F9</f>
        <v>1010</v>
      </c>
      <c r="G9" s="19">
        <f>Inputs!D17</f>
        <v>720</v>
      </c>
      <c r="H9" s="19">
        <f>Inputs!E17</f>
        <v>800</v>
      </c>
      <c r="I9" s="19">
        <f>Inputs!F17</f>
        <v>870</v>
      </c>
    </row>
    <row r="10" spans="2:9" x14ac:dyDescent="0.35">
      <c r="B10" s="17" t="s">
        <v>30</v>
      </c>
      <c r="D10" s="19">
        <f>Inputs!D10</f>
        <v>420</v>
      </c>
      <c r="E10" s="19">
        <f>Inputs!E10</f>
        <v>470</v>
      </c>
      <c r="F10" s="19">
        <f>Inputs!F10</f>
        <v>520</v>
      </c>
      <c r="G10" s="19">
        <f>Inputs!D18</f>
        <v>900</v>
      </c>
      <c r="H10" s="19">
        <f>Inputs!E18</f>
        <v>1020</v>
      </c>
      <c r="I10" s="19">
        <f>Inputs!F18</f>
        <v>1120</v>
      </c>
    </row>
    <row r="12" spans="2:9" x14ac:dyDescent="0.35">
      <c r="B12" s="20" t="s">
        <v>31</v>
      </c>
      <c r="C12" s="21"/>
      <c r="D12" s="22"/>
      <c r="E12" s="22"/>
      <c r="F12" s="22"/>
      <c r="G12" s="22"/>
      <c r="H12" s="22"/>
      <c r="I12" s="22"/>
    </row>
    <row r="13" spans="2:9" x14ac:dyDescent="0.35">
      <c r="B13" s="17" t="s">
        <v>32</v>
      </c>
      <c r="D13" s="23">
        <f>D8/D6*365</f>
        <v>82.125</v>
      </c>
      <c r="E13" s="23">
        <f t="shared" ref="E13:I13" si="0">E8/E6*365</f>
        <v>88</v>
      </c>
      <c r="F13" s="23">
        <f t="shared" si="0"/>
        <v>91.024691358024697</v>
      </c>
      <c r="G13" s="23">
        <f t="shared" si="0"/>
        <v>51.370370370370374</v>
      </c>
      <c r="H13" s="23">
        <f t="shared" si="0"/>
        <v>50.860655737704917</v>
      </c>
      <c r="I13" s="23">
        <f t="shared" si="0"/>
        <v>50.664179104477611</v>
      </c>
    </row>
    <row r="14" spans="2:9" x14ac:dyDescent="0.35">
      <c r="B14" s="17" t="s">
        <v>33</v>
      </c>
      <c r="D14" s="23">
        <f>D9/D7*365</f>
        <v>113.88</v>
      </c>
      <c r="E14" s="23">
        <f t="shared" ref="E14:I14" si="1">E9/E7*365</f>
        <v>115.26315789473684</v>
      </c>
      <c r="F14" s="23">
        <f t="shared" si="1"/>
        <v>116.66139240506328</v>
      </c>
      <c r="G14" s="23">
        <f t="shared" si="1"/>
        <v>60.833333333333329</v>
      </c>
      <c r="H14" s="23">
        <f t="shared" si="1"/>
        <v>59.83606557377049</v>
      </c>
      <c r="I14" s="23">
        <f t="shared" si="1"/>
        <v>59.244402985074629</v>
      </c>
    </row>
    <row r="15" spans="2:9" x14ac:dyDescent="0.35">
      <c r="B15" s="17" t="s">
        <v>34</v>
      </c>
      <c r="D15" s="23">
        <f>D10/D7*365</f>
        <v>61.32</v>
      </c>
      <c r="E15" s="23">
        <f t="shared" ref="E15:I15" si="2">E10/E7*365</f>
        <v>60.192982456140356</v>
      </c>
      <c r="F15" s="23">
        <f t="shared" si="2"/>
        <v>60.063291139240505</v>
      </c>
      <c r="G15" s="23">
        <f t="shared" si="2"/>
        <v>76.041666666666671</v>
      </c>
      <c r="H15" s="23">
        <f t="shared" si="2"/>
        <v>76.290983606557376</v>
      </c>
      <c r="I15" s="23">
        <f t="shared" si="2"/>
        <v>76.268656716417908</v>
      </c>
    </row>
    <row r="16" spans="2:9" x14ac:dyDescent="0.35">
      <c r="B16" s="24" t="s">
        <v>35</v>
      </c>
      <c r="D16" s="25">
        <f t="shared" ref="D16:I16" si="3">D13+D14-D15</f>
        <v>134.685</v>
      </c>
      <c r="E16" s="25">
        <f t="shared" si="3"/>
        <v>143.07017543859646</v>
      </c>
      <c r="F16" s="25">
        <f t="shared" si="3"/>
        <v>147.62279262384749</v>
      </c>
      <c r="G16" s="25">
        <f t="shared" si="3"/>
        <v>36.162037037037024</v>
      </c>
      <c r="H16" s="25">
        <f t="shared" si="3"/>
        <v>34.405737704918039</v>
      </c>
      <c r="I16" s="25">
        <f t="shared" si="3"/>
        <v>33.639925373134332</v>
      </c>
    </row>
    <row r="18" spans="2:9" x14ac:dyDescent="0.35">
      <c r="B18" s="20" t="s">
        <v>36</v>
      </c>
      <c r="C18" s="21"/>
      <c r="D18" s="26"/>
      <c r="E18" s="26"/>
      <c r="F18" s="26"/>
      <c r="G18" s="26"/>
      <c r="H18" s="26"/>
      <c r="I18" s="26"/>
    </row>
    <row r="19" spans="2:9" x14ac:dyDescent="0.35">
      <c r="B19" s="27" t="s">
        <v>37</v>
      </c>
      <c r="D19" s="28">
        <f>D8+D9-D10</f>
        <v>1080</v>
      </c>
      <c r="E19" s="28">
        <f>E8+E9-E10</f>
        <v>1310</v>
      </c>
      <c r="F19" s="28">
        <f>F8+F9-F10</f>
        <v>1500</v>
      </c>
      <c r="G19" s="28">
        <f>G8+G9-G10</f>
        <v>580</v>
      </c>
      <c r="H19" s="28">
        <f>H8+H9-H10</f>
        <v>630</v>
      </c>
      <c r="I19" s="28">
        <f>I8+I9-I10</f>
        <v>680</v>
      </c>
    </row>
    <row r="20" spans="2:9" x14ac:dyDescent="0.35">
      <c r="B20" s="27" t="s">
        <v>38</v>
      </c>
      <c r="D20" s="29">
        <f>D19/D6</f>
        <v>0.33750000000000002</v>
      </c>
      <c r="E20" s="29">
        <f t="shared" ref="E20:I20" si="4">E19/E6</f>
        <v>0.35890410958904112</v>
      </c>
      <c r="F20" s="29">
        <f t="shared" si="4"/>
        <v>0.37037037037037035</v>
      </c>
      <c r="G20" s="29">
        <f t="shared" si="4"/>
        <v>0.10740740740740741</v>
      </c>
      <c r="H20" s="29">
        <f t="shared" si="4"/>
        <v>0.10327868852459017</v>
      </c>
      <c r="I20" s="29">
        <f t="shared" si="4"/>
        <v>0.10149253731343283</v>
      </c>
    </row>
    <row r="22" spans="2:9" ht="15" customHeight="1" x14ac:dyDescent="0.35">
      <c r="B22" s="2" t="s">
        <v>60</v>
      </c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</sheetData>
  <mergeCells count="3">
    <mergeCell ref="D4:F4"/>
    <mergeCell ref="G4:I4"/>
    <mergeCell ref="B22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2"/>
  <sheetViews>
    <sheetView showGridLines="0" tabSelected="1" topLeftCell="A23" zoomScaleNormal="100" workbookViewId="0">
      <selection activeCell="D33" sqref="D33"/>
    </sheetView>
  </sheetViews>
  <sheetFormatPr defaultColWidth="8.6328125" defaultRowHeight="14.5" x14ac:dyDescent="0.35"/>
  <cols>
    <col min="1" max="1" width="2" customWidth="1"/>
    <col min="2" max="2" width="40" customWidth="1"/>
    <col min="3" max="3" width="15" customWidth="1"/>
    <col min="4" max="4" width="22.1796875" customWidth="1"/>
    <col min="5" max="5" width="15" customWidth="1"/>
    <col min="6" max="6" width="2" customWidth="1"/>
    <col min="7" max="7" width="58" customWidth="1"/>
  </cols>
  <sheetData>
    <row r="1" spans="2:7" ht="16.5" x14ac:dyDescent="0.35">
      <c r="B1" s="11" t="s">
        <v>62</v>
      </c>
    </row>
    <row r="2" spans="2:7" x14ac:dyDescent="0.35">
      <c r="B2" s="12" t="s">
        <v>39</v>
      </c>
    </row>
    <row r="4" spans="2:7" x14ac:dyDescent="0.35">
      <c r="B4" s="13" t="s">
        <v>40</v>
      </c>
      <c r="C4" s="14"/>
      <c r="D4" s="14"/>
      <c r="E4" s="14"/>
    </row>
    <row r="5" spans="2:7" x14ac:dyDescent="0.35">
      <c r="B5" s="17" t="s">
        <v>41</v>
      </c>
      <c r="D5" s="30">
        <f>'WC Analysis'!E14</f>
        <v>115.26315789473684</v>
      </c>
      <c r="G5" s="31" t="s">
        <v>42</v>
      </c>
    </row>
    <row r="6" spans="2:7" x14ac:dyDescent="0.35">
      <c r="B6" s="17" t="s">
        <v>43</v>
      </c>
      <c r="D6" s="32">
        <v>90</v>
      </c>
      <c r="G6" s="31"/>
    </row>
    <row r="7" spans="2:7" x14ac:dyDescent="0.35">
      <c r="B7" s="27" t="s">
        <v>44</v>
      </c>
      <c r="D7" s="33">
        <f>MAX(0,'WC Analysis'!E14-D6)</f>
        <v>25.263157894736835</v>
      </c>
    </row>
    <row r="8" spans="2:7" x14ac:dyDescent="0.35">
      <c r="B8" s="17" t="s">
        <v>45</v>
      </c>
      <c r="D8" s="34">
        <f>Inputs!E7</f>
        <v>2850</v>
      </c>
      <c r="G8" s="31"/>
    </row>
    <row r="9" spans="2:7" x14ac:dyDescent="0.35">
      <c r="B9" s="27" t="s">
        <v>46</v>
      </c>
      <c r="D9" s="35">
        <f>D7/365*Inputs!E7</f>
        <v>197.26027397260268</v>
      </c>
      <c r="G9" s="31" t="s">
        <v>47</v>
      </c>
    </row>
    <row r="10" spans="2:7" ht="34.5" x14ac:dyDescent="0.35">
      <c r="B10" s="36" t="s">
        <v>48</v>
      </c>
      <c r="D10" s="41" t="s">
        <v>61</v>
      </c>
      <c r="G10" s="31"/>
    </row>
    <row r="12" spans="2:7" x14ac:dyDescent="0.35">
      <c r="B12" s="13" t="s">
        <v>49</v>
      </c>
      <c r="C12" s="14"/>
      <c r="D12" s="14"/>
      <c r="E12" s="14"/>
    </row>
    <row r="13" spans="2:7" x14ac:dyDescent="0.35">
      <c r="B13" s="17" t="s">
        <v>50</v>
      </c>
      <c r="D13" s="30">
        <f>'WC Analysis'!E15</f>
        <v>60.192982456140356</v>
      </c>
      <c r="G13" s="31" t="s">
        <v>42</v>
      </c>
    </row>
    <row r="14" spans="2:7" x14ac:dyDescent="0.35">
      <c r="B14" s="17" t="s">
        <v>51</v>
      </c>
      <c r="D14" s="32">
        <v>72</v>
      </c>
      <c r="G14" s="31"/>
    </row>
    <row r="15" spans="2:7" x14ac:dyDescent="0.35">
      <c r="B15" s="27" t="s">
        <v>44</v>
      </c>
      <c r="D15" s="33">
        <f>MAX(0,D14-'WC Analysis'!E15)</f>
        <v>11.807017543859644</v>
      </c>
    </row>
    <row r="16" spans="2:7" x14ac:dyDescent="0.35">
      <c r="B16" s="17" t="s">
        <v>45</v>
      </c>
      <c r="D16" s="34">
        <f>Inputs!E7</f>
        <v>2850</v>
      </c>
    </row>
    <row r="17" spans="2:7" x14ac:dyDescent="0.35">
      <c r="B17" s="27" t="s">
        <v>46</v>
      </c>
      <c r="D17" s="35">
        <f>D15/365*Inputs!E7</f>
        <v>92.19178082191776</v>
      </c>
      <c r="G17" s="31" t="s">
        <v>52</v>
      </c>
    </row>
    <row r="18" spans="2:7" ht="34.5" x14ac:dyDescent="0.35">
      <c r="B18" s="36" t="s">
        <v>48</v>
      </c>
      <c r="D18" s="41" t="s">
        <v>72</v>
      </c>
      <c r="G18" s="31"/>
    </row>
    <row r="20" spans="2:7" x14ac:dyDescent="0.35">
      <c r="B20" s="13" t="s">
        <v>53</v>
      </c>
      <c r="C20" s="14"/>
      <c r="D20" s="14"/>
      <c r="E20" s="14"/>
    </row>
    <row r="21" spans="2:7" x14ac:dyDescent="0.35">
      <c r="B21" s="17" t="s">
        <v>54</v>
      </c>
      <c r="D21" s="30">
        <f>'WC Analysis'!E13</f>
        <v>88</v>
      </c>
      <c r="G21" s="31" t="s">
        <v>42</v>
      </c>
    </row>
    <row r="22" spans="2:7" x14ac:dyDescent="0.35">
      <c r="B22" s="17" t="s">
        <v>55</v>
      </c>
      <c r="D22" s="32">
        <v>70</v>
      </c>
      <c r="G22" s="31"/>
    </row>
    <row r="23" spans="2:7" x14ac:dyDescent="0.35">
      <c r="B23" s="27" t="s">
        <v>44</v>
      </c>
      <c r="D23" s="33">
        <f>MAX(0,'WC Analysis'!E13-D22)</f>
        <v>18</v>
      </c>
    </row>
    <row r="24" spans="2:7" x14ac:dyDescent="0.35">
      <c r="B24" s="17" t="s">
        <v>56</v>
      </c>
      <c r="D24" s="34">
        <f>Inputs!E6</f>
        <v>3650</v>
      </c>
      <c r="G24" s="31"/>
    </row>
    <row r="25" spans="2:7" x14ac:dyDescent="0.35">
      <c r="B25" s="27" t="s">
        <v>46</v>
      </c>
      <c r="D25" s="35">
        <f>D23/365*Inputs!E6</f>
        <v>180</v>
      </c>
      <c r="G25" s="31" t="s">
        <v>57</v>
      </c>
    </row>
    <row r="26" spans="2:7" ht="103.5" x14ac:dyDescent="0.35">
      <c r="B26" s="36" t="s">
        <v>48</v>
      </c>
      <c r="D26" s="41" t="s">
        <v>73</v>
      </c>
    </row>
    <row r="28" spans="2:7" x14ac:dyDescent="0.35">
      <c r="B28" s="37" t="s">
        <v>58</v>
      </c>
      <c r="D28" s="38">
        <f>D9+D17+D25</f>
        <v>469.45205479452045</v>
      </c>
    </row>
    <row r="29" spans="2:7" x14ac:dyDescent="0.35">
      <c r="B29" s="39" t="s">
        <v>59</v>
      </c>
      <c r="D29" s="40">
        <f>(D9+D17+D25)/Inputs!E6</f>
        <v>0.12861700131356724</v>
      </c>
    </row>
    <row r="31" spans="2:7" ht="15" customHeight="1" x14ac:dyDescent="0.35">
      <c r="B31" s="1"/>
      <c r="C31" s="1"/>
      <c r="D31" s="1"/>
      <c r="E31" s="1"/>
      <c r="F31" s="1"/>
      <c r="G31" s="1"/>
    </row>
    <row r="32" spans="2:7" x14ac:dyDescent="0.35">
      <c r="B32" s="1"/>
      <c r="C32" s="1"/>
      <c r="D32" s="1"/>
      <c r="E32" s="1"/>
      <c r="F32" s="1"/>
      <c r="G32" s="1"/>
    </row>
  </sheetData>
  <mergeCells count="1">
    <mergeCell ref="B31:G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Inputs</vt:lpstr>
      <vt:lpstr>WC Analysis</vt:lpstr>
      <vt:lpstr>Levers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Marika Lisoni</cp:lastModifiedBy>
  <cp:revision>0</cp:revision>
  <dcterms:created xsi:type="dcterms:W3CDTF">2026-07-07T16:44:30Z</dcterms:created>
  <dcterms:modified xsi:type="dcterms:W3CDTF">2026-07-07T18:53:29Z</dcterms:modified>
  <dc:language>en-US</dc:language>
</cp:coreProperties>
</file>